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a" sheetId="1" state="visible" r:id="rId3"/>
    <sheet name="Configuracion" sheetId="2" state="visible" r:id="rId4"/>
    <sheet name="Productos" sheetId="3" state="visible" r:id="rId5"/>
    <sheet name="Setups_Costos" sheetId="4" state="visible" r:id="rId6"/>
    <sheet name="Arbol" sheetId="5" state="visible" r:id="rId7"/>
    <sheet name="Demanda" sheetId="6" state="visible" r:id="rId8"/>
    <sheet name="Nive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<sst xmlns="http://schemas.openxmlformats.org/spreadsheetml/2006/main" count="156" uniqueCount="132">
  <si>
    <t xml:space="preserve">Anexo A – Datos del proyecto</t>
  </si>
  <si>
    <t xml:space="preserve">Postergación del Etiquetado en una Viña Exportadora bajo Incertidumbre en la Demanda</t>
  </si>
  <si>
    <t xml:space="preserve">ICS2122 – Taller de Investigación Operativa (Capstone), 2026-01</t>
  </si>
  <si>
    <t xml:space="preserve">Hoja</t>
  </si>
  <si>
    <t xml:space="preserve">Contenido</t>
  </si>
  <si>
    <t xml:space="preserve">Configuracion</t>
  </si>
  <si>
    <t xml:space="preserve">Configuración del sistema de envasado (línea, capacidad, estanques, botella, horizonte).</t>
  </si>
  <si>
    <t xml:space="preserve">Productos</t>
  </si>
  <si>
    <t xml:space="preserve">Vinos, etiquetas admisibles e inventarios iniciales.</t>
  </si>
  <si>
    <t xml:space="preserve">Setups_Costos</t>
  </si>
  <si>
    <t xml:space="preserve">Tiempos y costos de set-up, tiempos unitarios y costos de inventario y servicio.</t>
  </si>
  <si>
    <t xml:space="preserve">Arbol</t>
  </si>
  <si>
    <t xml:space="preserve">Árbol de escenarios de demanda: nodos, estados y probabilidades.</t>
  </si>
  <si>
    <t xml:space="preserve">Demanda</t>
  </si>
  <si>
    <t xml:space="preserve">Demanda de cada producto (vino, etiqueta) en cada nodo del árbol (botellas).</t>
  </si>
  <si>
    <t xml:space="preserve">Niveles</t>
  </si>
  <si>
    <t xml:space="preserve">Niveles de referencia para el análisis: variabilidad, capacidad y postergación.</t>
  </si>
  <si>
    <t xml:space="preserve">Convenciones:</t>
  </si>
  <si>
    <t xml:space="preserve">• Unidades: tiempos en horas, cantidades en botellas, volúmenes en litros, costos en unidades monetarias ($).</t>
  </si>
  <si>
    <t xml:space="preserve">• El horizonte tiene 3 períodos. La incertidumbre de la demanda se representa con un árbol de escenarios de 11 nodos (hoja Arbol).</t>
  </si>
  <si>
    <t xml:space="preserve">• Cada producto terminado es una combinación (vino, etiqueta). El embotellado tiene un rezago de una etapa: lo embotellado en un nodo queda disponible en sus nodos sucesores.</t>
  </si>
  <si>
    <t xml:space="preserve">• La demanda del primer período se satisface con actividades de embotellado y etiquetado predefinidas, iguales a la demanda del nodo 1.</t>
  </si>
  <si>
    <t xml:space="preserve">• Estos mismos datos se presentan en el documento 'P13 Anexo A Datos.docx'.</t>
  </si>
  <si>
    <t xml:space="preserve">Configuración del sistema de envasado</t>
  </si>
  <si>
    <t xml:space="preserve">Parámetro</t>
  </si>
  <si>
    <t xml:space="preserve">Valor</t>
  </si>
  <si>
    <t xml:space="preserve">Unidad</t>
  </si>
  <si>
    <t xml:space="preserve">Comentario</t>
  </si>
  <si>
    <t xml:space="preserve">Líneas de producción</t>
  </si>
  <si>
    <t xml:space="preserve">línea</t>
  </si>
  <si>
    <t xml:space="preserve">Realiza embotellado y etiquetado, acoplados o desacoplados</t>
  </si>
  <si>
    <t xml:space="preserve">Capacidad de la línea por período</t>
  </si>
  <si>
    <t xml:space="preserve">horas</t>
  </si>
  <si>
    <t xml:space="preserve">Tiempo disponible para producción y set-ups</t>
  </si>
  <si>
    <t xml:space="preserve">Períodos del horizonte</t>
  </si>
  <si>
    <t xml:space="preserve">períodos</t>
  </si>
  <si>
    <t xml:space="preserve">Coinciden con las etapas del árbol de escenarios</t>
  </si>
  <si>
    <t xml:space="preserve">Estanques intermedios disponibles</t>
  </si>
  <si>
    <t xml:space="preserve">estanques</t>
  </si>
  <si>
    <t xml:space="preserve">Número máximo utilizable en cada período</t>
  </si>
  <si>
    <t xml:space="preserve">Capacidad de cada estanque</t>
  </si>
  <si>
    <t xml:space="preserve">litros</t>
  </si>
  <si>
    <t xml:space="preserve">Un estanque alimenta la línea de embotellado</t>
  </si>
  <si>
    <t xml:space="preserve">Tamaño de botella (todos los vinos)</t>
  </si>
  <si>
    <t xml:space="preserve">≈ 13.333 botellas por estanque</t>
  </si>
  <si>
    <t xml:space="preserve">Subutilización máxima de un estanque</t>
  </si>
  <si>
    <t xml:space="preserve">fracción</t>
  </si>
  <si>
    <t xml:space="preserve">100%: no se exige uso mínimo del estanque</t>
  </si>
  <si>
    <t xml:space="preserve">Productos e inventarios iniciales</t>
  </si>
  <si>
    <t xml:space="preserve">Vino</t>
  </si>
  <si>
    <t xml:space="preserve">Etiquetas admisibles</t>
  </si>
  <si>
    <t xml:space="preserve">Productos terminados</t>
  </si>
  <si>
    <t xml:space="preserve">Vino 1</t>
  </si>
  <si>
    <t xml:space="preserve">Etiquetas 1, 2 y 3</t>
  </si>
  <si>
    <t xml:space="preserve">(1,1), (1,2), (1,3)</t>
  </si>
  <si>
    <t xml:space="preserve">Vino 2</t>
  </si>
  <si>
    <t xml:space="preserve">Etiquetas 1 y 2</t>
  </si>
  <si>
    <t xml:space="preserve">(2,1), (2,2)</t>
  </si>
  <si>
    <t xml:space="preserve">Inventario inicial</t>
  </si>
  <si>
    <t xml:space="preserve">Botellas llenas sin etiquetar (ambos vinos)</t>
  </si>
  <si>
    <t xml:space="preserve">botellas</t>
  </si>
  <si>
    <t xml:space="preserve">Productos terminados (todas las combinaciones)</t>
  </si>
  <si>
    <t xml:space="preserve">Pedidos atrasados (backlog) iniciales</t>
  </si>
  <si>
    <t xml:space="preserve">Nota: la demanda del período 1 (nodo 1) se satisface mediante actividades de embotellado y etiquetado predefinidas equivalentes a esa demanda.</t>
  </si>
  <si>
    <t xml:space="preserve">Tiempos y costos de operación</t>
  </si>
  <si>
    <t xml:space="preserve">Concepto</t>
  </si>
  <si>
    <t xml:space="preserve">Tiempo (h)</t>
  </si>
  <si>
    <t xml:space="preserve">Costo ($)</t>
  </si>
  <si>
    <t xml:space="preserve">Set-up de embotellado</t>
  </si>
  <si>
    <t xml:space="preserve">Al iniciar un lote de embotellado (por vino)</t>
  </si>
  <si>
    <t xml:space="preserve">Set-up conjunto de embotellado y etiquetado</t>
  </si>
  <si>
    <t xml:space="preserve">Cuando ambas operaciones se hacen acopladas</t>
  </si>
  <si>
    <t xml:space="preserve">Set-up de etiquetado</t>
  </si>
  <si>
    <t xml:space="preserve">Al etiquetar botellas mantenidas sin etiqueta</t>
  </si>
  <si>
    <t xml:space="preserve">Tiempos unitarios de proceso</t>
  </si>
  <si>
    <t xml:space="preserve">Llenado (solo embotellar)</t>
  </si>
  <si>
    <t xml:space="preserve">horas/botella</t>
  </si>
  <si>
    <t xml:space="preserve">Etiquetado (solo etiquetar)</t>
  </si>
  <si>
    <t xml:space="preserve">Llenado y etiquetado acoplados</t>
  </si>
  <si>
    <t xml:space="preserve">Costos de inventario y servicio</t>
  </si>
  <si>
    <t xml:space="preserve">Mantener una botella llena sin etiquetar</t>
  </si>
  <si>
    <t xml:space="preserve">$/botella·período</t>
  </si>
  <si>
    <t xml:space="preserve">Mantener una botella de producto terminado</t>
  </si>
  <si>
    <t xml:space="preserve">Pedido atrasado (backorder)</t>
  </si>
  <si>
    <t xml:space="preserve">Nota: el alto costo de backorder refleja la prioridad de la viña por no atrasar pedidos; mantener botellas sin etiquetar es más barato que mantener producto terminado.</t>
  </si>
  <si>
    <t xml:space="preserve">Árbol de escenarios de demanda (3 etapas, 11 nodos)</t>
  </si>
  <si>
    <t xml:space="preserve">Nodo</t>
  </si>
  <si>
    <t xml:space="preserve">Período</t>
  </si>
  <si>
    <t xml:space="preserve">Estado de demanda</t>
  </si>
  <si>
    <t xml:space="preserve">Nodo antecesor</t>
  </si>
  <si>
    <t xml:space="preserve">Prob. condicional</t>
  </si>
  <si>
    <t xml:space="preserve">Prob. del nodo</t>
  </si>
  <si>
    <t xml:space="preserve">Media</t>
  </si>
  <si>
    <t xml:space="preserve">-</t>
  </si>
  <si>
    <t xml:space="preserve">Alta</t>
  </si>
  <si>
    <t xml:space="preserve">Baja</t>
  </si>
  <si>
    <t xml:space="preserve">La probabilidad de cada nodo es el producto de las probabilidades condicionales desde la raíz; las probabilidades de los nodos finales suman 1.</t>
  </si>
  <si>
    <t xml:space="preserve">Demanda por producto y nodo (botellas)</t>
  </si>
  <si>
    <t xml:space="preserve">Producto (vino, etiqueta)</t>
  </si>
  <si>
    <t xml:space="preserve">Nodo 1</t>
  </si>
  <si>
    <t xml:space="preserve">Nodo 2</t>
  </si>
  <si>
    <t xml:space="preserve">Nodo 3</t>
  </si>
  <si>
    <t xml:space="preserve">Nodo 4</t>
  </si>
  <si>
    <t xml:space="preserve">Nodo 5</t>
  </si>
  <si>
    <t xml:space="preserve">Nodo 6</t>
  </si>
  <si>
    <t xml:space="preserve">Nodo 7</t>
  </si>
  <si>
    <t xml:space="preserve">Nodo 8</t>
  </si>
  <si>
    <t xml:space="preserve">Nodo 9</t>
  </si>
  <si>
    <t xml:space="preserve">Nodo 10</t>
  </si>
  <si>
    <t xml:space="preserve">Nodo 11</t>
  </si>
  <si>
    <t xml:space="preserve">(1,1)</t>
  </si>
  <si>
    <t xml:space="preserve">(1,2)</t>
  </si>
  <si>
    <t xml:space="preserve">(1,3)</t>
  </si>
  <si>
    <t xml:space="preserve">(2,1)</t>
  </si>
  <si>
    <t xml:space="preserve">(2,2)</t>
  </si>
  <si>
    <t xml:space="preserve">La demanda de un nodo debe atenderse en ese nodo; lo no atendido queda como pedido atrasado. Las demandas de los productos del vino 1 presentan correlaciones negativas entre sí; las del vino 2, positivas.</t>
  </si>
  <si>
    <t xml:space="preserve">Niveles de referencia para el análisis</t>
  </si>
  <si>
    <t xml:space="preserve">Dimensión</t>
  </si>
  <si>
    <t xml:space="preserve">Niveles de referencia</t>
  </si>
  <si>
    <t xml:space="preserve">Variabilidad de la demanda</t>
  </si>
  <si>
    <t xml:space="preserve">10%, 30%, 50%</t>
  </si>
  <si>
    <t xml:space="preserve">Desviación estándar como fracción de la media, por producto</t>
  </si>
  <si>
    <t xml:space="preserve">21, 42, 63, 84 horas</t>
  </si>
  <si>
    <t xml:space="preserve">Desde muy ajustada hasta holgada</t>
  </si>
  <si>
    <t xml:space="preserve">Etiquetas cuya postergación se permite</t>
  </si>
  <si>
    <t xml:space="preserve">0, 2, 3, 4, 5</t>
  </si>
  <si>
    <t xml:space="preserve">0 = sin postergación; 5 = postergación total</t>
  </si>
  <si>
    <t xml:space="preserve">Correlación entre demandas</t>
  </si>
  <si>
    <t xml:space="preserve">positiva / negativa</t>
  </si>
  <si>
    <t xml:space="preserve">Explorar ambos entornos de correlación entre productos</t>
  </si>
  <si>
    <t xml:space="preserve">Nota: no se considera postergar exactamente 1 etiqueta, pues una botella sin etiquetar debe poder convertirse en al menos dos productos distintos.</t>
  </si>
  <si>
    <t xml:space="preserve">Se sugiere caracterizar el beneficio de la postergación combinando estos niveles (capacidad × variabilidad × correlación).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</si>
</sst>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B2B2B"/>
      <name val="Arial"/>
      <family val="0"/>
      <charset val="1"/>
    </font>
    <font>
      <b val="true"/>
      <sz val="10"/>
      <color rgb="FF55524C"/>
      <name val="Arial"/>
      <family val="0"/>
      <charset val="1"/>
    </font>
    <font>
      <i val="true"/>
      <sz val="9"/>
      <color rgb="FF6B67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4741"/>
        <bgColor rgb="FF5552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5BD"/>
      </left>
      <right style="thin">
        <color rgb="FFC9C5BD"/>
      </right>
      <top style="thin">
        <color rgb="FFC9C5BD"/>
      </top>
      <bottom style="thin">
        <color rgb="FFC9C5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5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75F"/>
      <rgbColor rgb="FF969696"/>
      <rgbColor rgb="FF003366"/>
      <rgbColor rgb="FF339966"/>
      <rgbColor rgb="FF003300"/>
      <rgbColor rgb="FF4A4741"/>
      <rgbColor rgb="FF993300"/>
      <rgbColor rgb="FF993366"/>
      <rgbColor rgb="FF55524C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3" customFormat="false" ht="15" hidden="false" customHeight="false" outlineLevel="0" collapsed="false">
      <c r="A13" s="7" t="s">
        <v>17</v>
      </c>
    </row>
    <row r="14" customFormat="false" ht="15" hidden="false" customHeight="false" outlineLevel="0" collapsed="false">
      <c r="A14" s="8" t="s">
        <v>18</v>
      </c>
    </row>
    <row r="15" customFormat="false" ht="15" hidden="false" customHeight="false" outlineLevel="0" collapsed="false">
      <c r="A15" s="8" t="s">
        <v>19</v>
      </c>
    </row>
    <row r="16" customFormat="false" ht="15" hidden="false" customHeight="false" outlineLevel="0" collapsed="false">
      <c r="A16" s="8" t="s">
        <v>20</v>
      </c>
    </row>
    <row r="17" customFormat="false" ht="15" hidden="false" customHeight="false" outlineLevel="0" collapsed="false">
      <c r="A17" s="8" t="s">
        <v>21</v>
      </c>
    </row>
    <row r="18" customFormat="false" ht="15" hidden="false" customHeight="false" outlineLevel="0" collapsed="false">
      <c r="A18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1" t="s">
        <v>23</v>
      </c>
    </row>
    <row r="3" customFormat="false" ht="15" hidden="false" customHeight="false" outlineLevel="0" collapsed="false">
      <c r="A3" s="9" t="s">
        <v>24</v>
      </c>
      <c r="B3" s="9" t="s">
        <v>25</v>
      </c>
      <c r="C3" s="9" t="s">
        <v>26</v>
      </c>
      <c r="D3" s="9" t="s">
        <v>27</v>
      </c>
    </row>
    <row r="4" customFormat="false" ht="15" hidden="false" customHeight="false" outlineLevel="0" collapsed="false">
      <c r="A4" s="10" t="s">
        <v>28</v>
      </c>
      <c r="B4" s="11" t="n">
        <v>1</v>
      </c>
      <c r="C4" s="11" t="s">
        <v>29</v>
      </c>
      <c r="D4" s="10" t="s">
        <v>30</v>
      </c>
    </row>
    <row r="5" customFormat="false" ht="15" hidden="false" customHeight="false" outlineLevel="0" collapsed="false">
      <c r="A5" s="10" t="s">
        <v>31</v>
      </c>
      <c r="B5" s="11" t="n">
        <v>84</v>
      </c>
      <c r="C5" s="11" t="s">
        <v>32</v>
      </c>
      <c r="D5" s="10" t="s">
        <v>33</v>
      </c>
    </row>
    <row r="6" customFormat="false" ht="15" hidden="false" customHeight="false" outlineLevel="0" collapsed="false">
      <c r="A6" s="10" t="s">
        <v>34</v>
      </c>
      <c r="B6" s="11" t="n">
        <v>3</v>
      </c>
      <c r="C6" s="11" t="s">
        <v>35</v>
      </c>
      <c r="D6" s="10" t="s">
        <v>36</v>
      </c>
    </row>
    <row r="7" customFormat="false" ht="15" hidden="false" customHeight="false" outlineLevel="0" collapsed="false">
      <c r="A7" s="10" t="s">
        <v>37</v>
      </c>
      <c r="B7" s="11" t="n">
        <v>20</v>
      </c>
      <c r="C7" s="11" t="s">
        <v>38</v>
      </c>
      <c r="D7" s="10" t="s">
        <v>39</v>
      </c>
    </row>
    <row r="8" customFormat="false" ht="15" hidden="false" customHeight="false" outlineLevel="0" collapsed="false">
      <c r="A8" s="10" t="s">
        <v>40</v>
      </c>
      <c r="B8" s="11" t="n">
        <v>10000</v>
      </c>
      <c r="C8" s="11" t="s">
        <v>41</v>
      </c>
      <c r="D8" s="10" t="s">
        <v>42</v>
      </c>
    </row>
    <row r="9" customFormat="false" ht="15" hidden="false" customHeight="false" outlineLevel="0" collapsed="false">
      <c r="A9" s="10" t="s">
        <v>43</v>
      </c>
      <c r="B9" s="11" t="n">
        <v>0.75</v>
      </c>
      <c r="C9" s="11" t="s">
        <v>41</v>
      </c>
      <c r="D9" s="10" t="s">
        <v>44</v>
      </c>
    </row>
    <row r="10" customFormat="false" ht="15" hidden="false" customHeight="false" outlineLevel="0" collapsed="false">
      <c r="A10" s="10" t="s">
        <v>45</v>
      </c>
      <c r="B10" s="11" t="n">
        <v>1</v>
      </c>
      <c r="C10" s="11" t="s">
        <v>46</v>
      </c>
      <c r="D10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2"/>
  </cols>
  <sheetData>
    <row r="1" customFormat="false" ht="16.15" hidden="false" customHeight="false" outlineLevel="0" collapsed="false">
      <c r="A1" s="1" t="s">
        <v>48</v>
      </c>
    </row>
    <row r="3" customFormat="false" ht="15" hidden="false" customHeight="false" outlineLevel="0" collapsed="false">
      <c r="A3" s="9" t="s">
        <v>49</v>
      </c>
      <c r="B3" s="9" t="s">
        <v>50</v>
      </c>
      <c r="C3" s="9" t="s">
        <v>51</v>
      </c>
    </row>
    <row r="4" customFormat="false" ht="15" hidden="false" customHeight="false" outlineLevel="0" collapsed="false">
      <c r="A4" s="10" t="s">
        <v>52</v>
      </c>
      <c r="B4" s="11" t="s">
        <v>53</v>
      </c>
      <c r="C4" s="11" t="s">
        <v>54</v>
      </c>
    </row>
    <row r="5" customFormat="false" ht="15" hidden="false" customHeight="false" outlineLevel="0" collapsed="false">
      <c r="A5" s="10" t="s">
        <v>55</v>
      </c>
      <c r="B5" s="11" t="s">
        <v>56</v>
      </c>
      <c r="C5" s="11" t="s">
        <v>57</v>
      </c>
    </row>
    <row r="8" customFormat="false" ht="15" hidden="false" customHeight="false" outlineLevel="0" collapsed="false">
      <c r="A8" s="9" t="s">
        <v>58</v>
      </c>
      <c r="B8" s="9" t="s">
        <v>25</v>
      </c>
      <c r="C8" s="9" t="s">
        <v>26</v>
      </c>
    </row>
    <row r="9" customFormat="false" ht="15" hidden="false" customHeight="false" outlineLevel="0" collapsed="false">
      <c r="A9" s="10" t="s">
        <v>59</v>
      </c>
      <c r="B9" s="11" t="n">
        <v>0</v>
      </c>
      <c r="C9" s="11" t="s">
        <v>60</v>
      </c>
    </row>
    <row r="10" customFormat="false" ht="15" hidden="false" customHeight="false" outlineLevel="0" collapsed="false">
      <c r="A10" s="10" t="s">
        <v>61</v>
      </c>
      <c r="B10" s="11" t="n">
        <v>0</v>
      </c>
      <c r="C10" s="11" t="s">
        <v>60</v>
      </c>
    </row>
    <row r="11" customFormat="false" ht="15" hidden="false" customHeight="false" outlineLevel="0" collapsed="false">
      <c r="A11" s="10" t="s">
        <v>62</v>
      </c>
      <c r="B11" s="11" t="n">
        <v>0</v>
      </c>
      <c r="C11" s="11" t="s">
        <v>60</v>
      </c>
    </row>
    <row r="13" customFormat="false" ht="15" hidden="false" customHeight="false" outlineLevel="0" collapsed="false">
      <c r="A13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16.15" hidden="false" customHeight="false" outlineLevel="0" collapsed="false">
      <c r="A1" s="1" t="s">
        <v>64</v>
      </c>
    </row>
    <row r="3" customFormat="false" ht="15" hidden="false" customHeight="false" outlineLevel="0" collapsed="false">
      <c r="A3" s="9" t="s">
        <v>65</v>
      </c>
      <c r="B3" s="9" t="s">
        <v>66</v>
      </c>
      <c r="C3" s="9" t="s">
        <v>67</v>
      </c>
      <c r="D3" s="9" t="s">
        <v>27</v>
      </c>
    </row>
    <row r="4" customFormat="false" ht="15" hidden="false" customHeight="false" outlineLevel="0" collapsed="false">
      <c r="A4" s="10" t="s">
        <v>68</v>
      </c>
      <c r="B4" s="11" t="n">
        <v>1.5</v>
      </c>
      <c r="C4" s="11" t="n">
        <v>1500</v>
      </c>
      <c r="D4" s="10" t="s">
        <v>69</v>
      </c>
    </row>
    <row r="5" customFormat="false" ht="15" hidden="false" customHeight="false" outlineLevel="0" collapsed="false">
      <c r="A5" s="10" t="s">
        <v>70</v>
      </c>
      <c r="B5" s="11" t="n">
        <v>1.5</v>
      </c>
      <c r="C5" s="11" t="n">
        <v>1500</v>
      </c>
      <c r="D5" s="10" t="s">
        <v>71</v>
      </c>
    </row>
    <row r="6" customFormat="false" ht="15" hidden="false" customHeight="false" outlineLevel="0" collapsed="false">
      <c r="A6" s="10" t="s">
        <v>72</v>
      </c>
      <c r="B6" s="11" t="n">
        <v>0.5</v>
      </c>
      <c r="C6" s="11" t="n">
        <v>500</v>
      </c>
      <c r="D6" s="10" t="s">
        <v>73</v>
      </c>
    </row>
    <row r="9" customFormat="false" ht="15" hidden="false" customHeight="false" outlineLevel="0" collapsed="false">
      <c r="A9" s="9" t="s">
        <v>74</v>
      </c>
      <c r="B9" s="9" t="s">
        <v>25</v>
      </c>
      <c r="C9" s="9" t="s">
        <v>26</v>
      </c>
    </row>
    <row r="10" customFormat="false" ht="15" hidden="false" customHeight="false" outlineLevel="0" collapsed="false">
      <c r="A10" s="10" t="s">
        <v>75</v>
      </c>
      <c r="B10" s="12" t="n">
        <v>0.00014</v>
      </c>
      <c r="C10" s="11" t="s">
        <v>76</v>
      </c>
    </row>
    <row r="11" customFormat="false" ht="15" hidden="false" customHeight="false" outlineLevel="0" collapsed="false">
      <c r="A11" s="10" t="s">
        <v>77</v>
      </c>
      <c r="B11" s="12" t="n">
        <v>0.00028</v>
      </c>
      <c r="C11" s="11" t="s">
        <v>76</v>
      </c>
    </row>
    <row r="12" customFormat="false" ht="15" hidden="false" customHeight="false" outlineLevel="0" collapsed="false">
      <c r="A12" s="10" t="s">
        <v>78</v>
      </c>
      <c r="B12" s="12" t="n">
        <v>0.00028</v>
      </c>
      <c r="C12" s="11" t="s">
        <v>76</v>
      </c>
    </row>
    <row r="15" customFormat="false" ht="15" hidden="false" customHeight="false" outlineLevel="0" collapsed="false">
      <c r="A15" s="9" t="s">
        <v>79</v>
      </c>
      <c r="B15" s="9" t="s">
        <v>25</v>
      </c>
      <c r="C15" s="9" t="s">
        <v>26</v>
      </c>
    </row>
    <row r="16" customFormat="false" ht="15" hidden="false" customHeight="false" outlineLevel="0" collapsed="false">
      <c r="A16" s="10" t="s">
        <v>80</v>
      </c>
      <c r="B16" s="11" t="n">
        <v>10</v>
      </c>
      <c r="C16" s="11" t="s">
        <v>81</v>
      </c>
    </row>
    <row r="17" customFormat="false" ht="15" hidden="false" customHeight="false" outlineLevel="0" collapsed="false">
      <c r="A17" s="10" t="s">
        <v>82</v>
      </c>
      <c r="B17" s="11" t="n">
        <v>15</v>
      </c>
      <c r="C17" s="11" t="s">
        <v>81</v>
      </c>
    </row>
    <row r="18" customFormat="false" ht="15" hidden="false" customHeight="false" outlineLevel="0" collapsed="false">
      <c r="A18" s="10" t="s">
        <v>83</v>
      </c>
      <c r="B18" s="11" t="n">
        <v>15000</v>
      </c>
      <c r="C18" s="11" t="s">
        <v>81</v>
      </c>
    </row>
    <row r="20" customFormat="false" ht="15" hidden="false" customHeight="false" outlineLevel="0" collapsed="false">
      <c r="A20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9" t="s">
        <v>86</v>
      </c>
      <c r="B3" s="9" t="s">
        <v>87</v>
      </c>
      <c r="C3" s="9" t="s">
        <v>88</v>
      </c>
      <c r="D3" s="9" t="s">
        <v>89</v>
      </c>
      <c r="E3" s="9" t="s">
        <v>90</v>
      </c>
      <c r="F3" s="9" t="s">
        <v>91</v>
      </c>
    </row>
    <row r="4" customFormat="false" ht="15" hidden="false" customHeight="false" outlineLevel="0" collapsed="false">
      <c r="A4" s="13" t="n">
        <v>1</v>
      </c>
      <c r="B4" s="11" t="n">
        <v>1</v>
      </c>
      <c r="C4" s="11" t="s">
        <v>92</v>
      </c>
      <c r="D4" s="11" t="s">
        <v>93</v>
      </c>
      <c r="E4" s="14" t="n">
        <v>1</v>
      </c>
      <c r="F4" s="14" t="n">
        <f aca="false">E4</f>
        <v>1</v>
      </c>
    </row>
    <row r="5" customFormat="false" ht="15" hidden="false" customHeight="false" outlineLevel="0" collapsed="false">
      <c r="A5" s="13" t="n">
        <v>2</v>
      </c>
      <c r="B5" s="11" t="n">
        <v>2</v>
      </c>
      <c r="C5" s="11" t="s">
        <v>94</v>
      </c>
      <c r="D5" s="11" t="n">
        <v>1</v>
      </c>
      <c r="E5" s="14" t="n">
        <v>0.3</v>
      </c>
      <c r="F5" s="14" t="n">
        <f aca="false">E5*F4</f>
        <v>0.3</v>
      </c>
    </row>
    <row r="6" customFormat="false" ht="15" hidden="false" customHeight="false" outlineLevel="0" collapsed="false">
      <c r="A6" s="13" t="n">
        <v>3</v>
      </c>
      <c r="B6" s="11" t="n">
        <v>2</v>
      </c>
      <c r="C6" s="11" t="s">
        <v>92</v>
      </c>
      <c r="D6" s="11" t="n">
        <v>1</v>
      </c>
      <c r="E6" s="14" t="n">
        <v>0.4</v>
      </c>
      <c r="F6" s="14" t="n">
        <f aca="false">E6*F4</f>
        <v>0.4</v>
      </c>
    </row>
    <row r="7" customFormat="false" ht="15" hidden="false" customHeight="false" outlineLevel="0" collapsed="false">
      <c r="A7" s="13" t="n">
        <v>4</v>
      </c>
      <c r="B7" s="11" t="n">
        <v>2</v>
      </c>
      <c r="C7" s="11" t="s">
        <v>95</v>
      </c>
      <c r="D7" s="11" t="n">
        <v>1</v>
      </c>
      <c r="E7" s="14" t="n">
        <v>0.3</v>
      </c>
      <c r="F7" s="14" t="n">
        <f aca="false">E7*F4</f>
        <v>0.3</v>
      </c>
    </row>
    <row r="8" customFormat="false" ht="15" hidden="false" customHeight="false" outlineLevel="0" collapsed="false">
      <c r="A8" s="13" t="n">
        <v>5</v>
      </c>
      <c r="B8" s="11" t="n">
        <v>3</v>
      </c>
      <c r="C8" s="11" t="s">
        <v>94</v>
      </c>
      <c r="D8" s="11" t="n">
        <v>2</v>
      </c>
      <c r="E8" s="14" t="n">
        <v>0.7</v>
      </c>
      <c r="F8" s="14" t="n">
        <f aca="false">E8*F5</f>
        <v>0.21</v>
      </c>
    </row>
    <row r="9" customFormat="false" ht="15" hidden="false" customHeight="false" outlineLevel="0" collapsed="false">
      <c r="A9" s="13" t="n">
        <v>6</v>
      </c>
      <c r="B9" s="11" t="n">
        <v>3</v>
      </c>
      <c r="C9" s="11" t="s">
        <v>92</v>
      </c>
      <c r="D9" s="11" t="n">
        <v>2</v>
      </c>
      <c r="E9" s="14" t="n">
        <v>0.3</v>
      </c>
      <c r="F9" s="14" t="n">
        <f aca="false">E9*F5</f>
        <v>0.09</v>
      </c>
    </row>
    <row r="10" customFormat="false" ht="15" hidden="false" customHeight="false" outlineLevel="0" collapsed="false">
      <c r="A10" s="13" t="n">
        <v>7</v>
      </c>
      <c r="B10" s="11" t="n">
        <v>3</v>
      </c>
      <c r="C10" s="11" t="s">
        <v>94</v>
      </c>
      <c r="D10" s="11" t="n">
        <v>3</v>
      </c>
      <c r="E10" s="14" t="n">
        <v>0.333333333333333</v>
      </c>
      <c r="F10" s="14" t="n">
        <f aca="false">E10*F6</f>
        <v>0.133333333333333</v>
      </c>
    </row>
    <row r="11" customFormat="false" ht="15" hidden="false" customHeight="false" outlineLevel="0" collapsed="false">
      <c r="A11" s="13" t="n">
        <v>8</v>
      </c>
      <c r="B11" s="11" t="n">
        <v>3</v>
      </c>
      <c r="C11" s="11" t="s">
        <v>92</v>
      </c>
      <c r="D11" s="11" t="n">
        <v>3</v>
      </c>
      <c r="E11" s="14" t="n">
        <v>0.333333333333333</v>
      </c>
      <c r="F11" s="14" t="n">
        <f aca="false">E11*F6</f>
        <v>0.133333333333333</v>
      </c>
    </row>
    <row r="12" customFormat="false" ht="15" hidden="false" customHeight="false" outlineLevel="0" collapsed="false">
      <c r="A12" s="13" t="n">
        <v>9</v>
      </c>
      <c r="B12" s="11" t="n">
        <v>3</v>
      </c>
      <c r="C12" s="11" t="s">
        <v>95</v>
      </c>
      <c r="D12" s="11" t="n">
        <v>3</v>
      </c>
      <c r="E12" s="14" t="n">
        <v>0.333333333333333</v>
      </c>
      <c r="F12" s="14" t="n">
        <f aca="false">E12*F6</f>
        <v>0.133333333333333</v>
      </c>
    </row>
    <row r="13" customFormat="false" ht="15" hidden="false" customHeight="false" outlineLevel="0" collapsed="false">
      <c r="A13" s="13" t="n">
        <v>10</v>
      </c>
      <c r="B13" s="11" t="n">
        <v>3</v>
      </c>
      <c r="C13" s="11" t="s">
        <v>92</v>
      </c>
      <c r="D13" s="11" t="n">
        <v>4</v>
      </c>
      <c r="E13" s="14" t="n">
        <v>0.6</v>
      </c>
      <c r="F13" s="14" t="n">
        <f aca="false">E13*F7</f>
        <v>0.18</v>
      </c>
    </row>
    <row r="14" customFormat="false" ht="15" hidden="false" customHeight="false" outlineLevel="0" collapsed="false">
      <c r="A14" s="13" t="n">
        <v>11</v>
      </c>
      <c r="B14" s="11" t="n">
        <v>3</v>
      </c>
      <c r="C14" s="11" t="s">
        <v>95</v>
      </c>
      <c r="D14" s="11" t="n">
        <v>4</v>
      </c>
      <c r="E14" s="14" t="n">
        <v>0.4</v>
      </c>
      <c r="F14" s="14" t="n">
        <f aca="false">E14*F7</f>
        <v>0.12</v>
      </c>
    </row>
    <row r="16" customFormat="false" ht="15" hidden="false" customHeight="false" outlineLevel="0" collapsed="false">
      <c r="A16" s="3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1"/>
  </cols>
  <sheetData>
    <row r="1" customFormat="false" ht="16.15" hidden="false" customHeight="false" outlineLevel="0" collapsed="false">
      <c r="A1" s="1" t="s">
        <v>97</v>
      </c>
    </row>
    <row r="3" customFormat="false" ht="15" hidden="false" customHeight="false" outlineLevel="0" collapsed="false">
      <c r="A3" s="9" t="s">
        <v>98</v>
      </c>
      <c r="B3" s="9" t="s">
        <v>99</v>
      </c>
      <c r="C3" s="9" t="s">
        <v>100</v>
      </c>
      <c r="D3" s="9" t="s">
        <v>101</v>
      </c>
      <c r="E3" s="9" t="s">
        <v>102</v>
      </c>
      <c r="F3" s="9" t="s">
        <v>103</v>
      </c>
      <c r="G3" s="9" t="s">
        <v>104</v>
      </c>
      <c r="H3" s="9" t="s">
        <v>105</v>
      </c>
      <c r="I3" s="9" t="s">
        <v>106</v>
      </c>
      <c r="J3" s="9" t="s">
        <v>107</v>
      </c>
      <c r="K3" s="9" t="s">
        <v>108</v>
      </c>
      <c r="L3" s="9" t="s">
        <v>109</v>
      </c>
    </row>
    <row r="4" customFormat="false" ht="15" hidden="false" customHeight="false" outlineLevel="0" collapsed="false">
      <c r="A4" s="5" t="s">
        <v>110</v>
      </c>
      <c r="B4" s="15" t="n">
        <v>23525</v>
      </c>
      <c r="C4" s="15" t="n">
        <v>53218</v>
      </c>
      <c r="D4" s="15" t="n">
        <v>34328</v>
      </c>
      <c r="E4" s="15" t="n">
        <v>18118</v>
      </c>
      <c r="F4" s="15" t="n">
        <v>81856</v>
      </c>
      <c r="G4" s="15" t="n">
        <v>45302</v>
      </c>
      <c r="H4" s="15" t="n">
        <v>50426</v>
      </c>
      <c r="I4" s="15" t="n">
        <v>31482</v>
      </c>
      <c r="J4" s="15" t="n">
        <v>12538</v>
      </c>
      <c r="K4" s="15" t="n">
        <v>30856</v>
      </c>
      <c r="L4" s="15" t="n">
        <v>10426</v>
      </c>
    </row>
    <row r="5" customFormat="false" ht="15" hidden="false" customHeight="false" outlineLevel="0" collapsed="false">
      <c r="A5" s="5" t="s">
        <v>111</v>
      </c>
      <c r="B5" s="15" t="n">
        <v>24328</v>
      </c>
      <c r="C5" s="15" t="n">
        <v>15184</v>
      </c>
      <c r="D5" s="15" t="n">
        <v>28525</v>
      </c>
      <c r="E5" s="15" t="n">
        <v>45832</v>
      </c>
      <c r="F5" s="15" t="n">
        <v>24546</v>
      </c>
      <c r="G5" s="15" t="n">
        <v>31371</v>
      </c>
      <c r="H5" s="15" t="n">
        <v>23569</v>
      </c>
      <c r="I5" s="15" t="n">
        <v>40767</v>
      </c>
      <c r="J5" s="15" t="n">
        <v>57965</v>
      </c>
      <c r="K5" s="15" t="n">
        <v>20546</v>
      </c>
      <c r="L5" s="15" t="n">
        <v>45569</v>
      </c>
    </row>
    <row r="6" customFormat="false" ht="15" hidden="false" customHeight="false" outlineLevel="0" collapsed="false">
      <c r="A6" s="5" t="s">
        <v>112</v>
      </c>
      <c r="B6" s="15" t="n">
        <v>20368</v>
      </c>
      <c r="C6" s="15" t="n">
        <v>38150</v>
      </c>
      <c r="D6" s="15" t="n">
        <v>21080</v>
      </c>
      <c r="E6" s="15" t="n">
        <v>6762</v>
      </c>
      <c r="F6" s="15" t="n">
        <v>4920</v>
      </c>
      <c r="G6" s="15" t="n">
        <v>25765</v>
      </c>
      <c r="H6" s="15" t="n">
        <v>35043</v>
      </c>
      <c r="I6" s="15" t="n">
        <v>25646</v>
      </c>
      <c r="J6" s="15" t="n">
        <v>16248</v>
      </c>
      <c r="K6" s="15" t="n">
        <v>10920</v>
      </c>
      <c r="L6" s="15" t="n">
        <v>11043</v>
      </c>
    </row>
    <row r="7" customFormat="false" ht="15" hidden="false" customHeight="false" outlineLevel="0" collapsed="false">
      <c r="A7" s="5" t="s">
        <v>113</v>
      </c>
      <c r="B7" s="15" t="n">
        <v>21080</v>
      </c>
      <c r="C7" s="15" t="n">
        <v>39387</v>
      </c>
      <c r="D7" s="15" t="n">
        <v>30368</v>
      </c>
      <c r="E7" s="15" t="n">
        <v>12646</v>
      </c>
      <c r="F7" s="15" t="n">
        <v>34115</v>
      </c>
      <c r="G7" s="15" t="n">
        <v>22773</v>
      </c>
      <c r="H7" s="15" t="n">
        <v>37045</v>
      </c>
      <c r="I7" s="15" t="n">
        <v>27831</v>
      </c>
      <c r="J7" s="15" t="n">
        <v>18616</v>
      </c>
      <c r="K7" s="15" t="n">
        <v>24115</v>
      </c>
      <c r="L7" s="15" t="n">
        <v>17045</v>
      </c>
    </row>
    <row r="8" customFormat="false" ht="15" hidden="false" customHeight="false" outlineLevel="0" collapsed="false">
      <c r="A8" s="5" t="s">
        <v>114</v>
      </c>
      <c r="B8" s="15" t="n">
        <v>22991</v>
      </c>
      <c r="C8" s="15" t="n">
        <v>38048</v>
      </c>
      <c r="D8" s="15" t="n">
        <v>27991</v>
      </c>
      <c r="E8" s="15" t="n">
        <v>14949</v>
      </c>
      <c r="F8" s="15" t="n">
        <v>33440</v>
      </c>
      <c r="G8" s="15" t="n">
        <v>22824</v>
      </c>
      <c r="H8" s="15" t="n">
        <v>35085</v>
      </c>
      <c r="I8" s="15" t="n">
        <v>25147</v>
      </c>
      <c r="J8" s="15" t="n">
        <v>15209</v>
      </c>
      <c r="K8" s="15" t="n">
        <v>23440</v>
      </c>
      <c r="L8" s="15" t="n">
        <v>15085</v>
      </c>
    </row>
    <row r="10" customFormat="false" ht="15" hidden="false" customHeight="false" outlineLevel="0" collapsed="false">
      <c r="A10" s="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56"/>
  </cols>
  <sheetData>
    <row r="1" customFormat="false" ht="16.1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9" t="s">
        <v>117</v>
      </c>
      <c r="B3" s="9" t="s">
        <v>118</v>
      </c>
      <c r="C3" s="9" t="s">
        <v>27</v>
      </c>
    </row>
    <row r="4" customFormat="false" ht="15" hidden="false" customHeight="false" outlineLevel="0" collapsed="false">
      <c r="A4" s="10" t="s">
        <v>119</v>
      </c>
      <c r="B4" s="11" t="s">
        <v>120</v>
      </c>
      <c r="C4" s="10" t="s">
        <v>121</v>
      </c>
    </row>
    <row r="5" customFormat="false" ht="15" hidden="false" customHeight="false" outlineLevel="0" collapsed="false">
      <c r="A5" s="10" t="s">
        <v>31</v>
      </c>
      <c r="B5" s="11" t="s">
        <v>122</v>
      </c>
      <c r="C5" s="10" t="s">
        <v>123</v>
      </c>
    </row>
    <row r="6" customFormat="false" ht="15" hidden="false" customHeight="false" outlineLevel="0" collapsed="false">
      <c r="A6" s="10" t="s">
        <v>124</v>
      </c>
      <c r="B6" s="11" t="s">
        <v>125</v>
      </c>
      <c r="C6" s="10" t="s">
        <v>126</v>
      </c>
    </row>
    <row r="7" customFormat="false" ht="15" hidden="false" customHeight="false" outlineLevel="0" collapsed="false">
      <c r="A7" s="10" t="s">
        <v>127</v>
      </c>
      <c r="B7" s="11" t="s">
        <v>128</v>
      </c>
      <c r="C7" s="10" t="s">
        <v>129</v>
      </c>
    </row>
    <row r="9" customFormat="false" ht="15" hidden="false" customHeight="false" outlineLevel="0" collapsed="false">
      <c r="A9" s="3" t="s">
        <v>130</v>
      </c>
    </row>
    <row r="10" customFormat="false" ht="15" hidden="false" customHeight="false" outlineLevel="0" collapsed="false">
      <c r="A10" s="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2026-08-11T19:46:41Z</dcterms:created>
  <dc:creator>openpyxl</dc:creator>
  <dc:description/>
  <dc:language>en-US</dc:language>
  <cp:lastModifiedBy/>
  <dcterms:modified xsi:type="dcterms:W3CDTF">2026-08-11T19:46:41Z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